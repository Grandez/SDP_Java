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SDP\config\"/>
    </mc:Choice>
  </mc:AlternateContent>
  <bookViews>
    <workbookView xWindow="0" yWindow="0" windowWidth="20490" windowHeight="8340"/>
  </bookViews>
  <sheets>
    <sheet name="Resumen" sheetId="8" r:id="rId1"/>
    <sheet name="Codigo" sheetId="5" r:id="rId2"/>
    <sheet name="Parrafos" sheetId="1" r:id="rId3"/>
    <sheet name="Persistencia" sheetId="6" r:id="rId4"/>
    <sheet name="Dep. Datos" sheetId="7" r:id="rId5"/>
    <sheet name="Modulos" sheetId="3" r:id="rId6"/>
    <sheet name="Arbol" sheetId="9" r:id="rId7"/>
    <sheet name="Issues" sheetId="10" r:id="rId8"/>
    <sheet name="SDPParms" sheetId="2" r:id="rId9"/>
  </sheets>
  <functionGroups builtInGroupCount="18">
    <functionGroup name="SDP Module"/>
    <functionGroup name="SDP Summary"/>
    <functionGroup name="SDP Code info"/>
    <functionGroup name="SDP Paragraphs"/>
    <functionGroup name="SDP Tools"/>
    <functionGroup name="SDP Dependencias"/>
  </functionGroups>
  <definedNames>
    <definedName name="_xlnm._FilterDatabase" localSheetId="7" hidden="1">Issues!$B$2:$D$2</definedName>
    <definedName name="_xlnm._FilterDatabase" localSheetId="2" hidden="1">Parrafos!$B$2:$G$2</definedName>
    <definedName name="MOD.NAMES" localSheetId="5">OFFSET(Modulos!$D$4,1,0,Modulos!$A$1,1)</definedName>
    <definedName name="MOD.REFS">OFFSET(Modulos!$E$4,1,0,Modulos!$A$1,1)</definedName>
    <definedName name="PARR_CC" localSheetId="2">OFFSET(Parrafos!$F$2,1,0,Parrafos!$A$1,1)</definedName>
    <definedName name="PARR_NAMES" localSheetId="2">OFFSET(Parrafos!$C$2,1,0,Parrafos!$A$1,1)</definedName>
    <definedName name="PARR_STMTS" localSheetId="2">OFFSET(Parrafos!$E$2,1,0,Parrafos!$A$1,1)</definedName>
  </definedNames>
  <calcPr calcId="152511" forceFullCalc="1"/>
  <extLst>
    <ext xmlns:x14="http://schemas.microsoft.com/office/spreadsheetml/2009/9/main" uri="{8193D73E-4604-4355-AFF4-8A2333D13BE4}">
      <x14:definedNames>
        <x14:definedName name="SDP_CALLED_FIR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ID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LA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METHOD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CALLED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ALLED_NAME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REF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STATUS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COPY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OPY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OPY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COPY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METHOD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ALLOCAT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ALLOCATE_MEMORY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IC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DB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DYNAMIC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FIL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CIC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DB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FILE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MQ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MQ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THREADSAF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TMP">
          <x14:argumentDescriptions count="3">
            <x14:argumentDescription index="0">Primera Cadena de texto a unir.</x14:argumentDescription>
            <x14:argumentDescription index="1">Segunda Cadena de texto a unir.</x14:argumentDescription>
            <x14:argumentDescription index="2">Caracter empleado como 'Separador'</x14:argumentDescription>
          </x14:argumentDescriptions>
        </x14:definedName>
        <x14:definedName name="sdp_tmp33">
          <x14:argumentDescriptions count="3">
            <x14:argumentDescription index="0">Primera Cadena de texto a unir.</x14:argumentDescription>
            <x14:argumentDescription index="1">Segunda Cadena de texto a unir.</x14:argumentDescription>
            <x14:argumentDescription index="2">Caracter empleado como 'Separador'</x14:argumentDescription>
          </x14:argumentDescriptions>
        </x14:definedName>
        <x14:definedName name="SDP_TREE_FIR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ID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LA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LEVEL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MAX_LEVEL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METHOD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TREE_MODE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TREE_NAME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RECURSIV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TREE_REF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STATU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0" l="1"/>
  <c r="D3" i="10"/>
  <c r="C3" i="10"/>
  <c r="B3" i="10"/>
  <c r="C3" i="9"/>
  <c r="C10" i="5"/>
  <c r="L5" i="3"/>
  <c r="I9" i="5"/>
  <c r="D7" i="3"/>
  <c r="F9" i="5"/>
  <c r="G14" i="8"/>
  <c r="G6" i="8"/>
  <c r="G9" i="8"/>
  <c r="D14" i="8"/>
  <c r="D31" i="8"/>
  <c r="F8" i="5"/>
  <c r="I7" i="3"/>
  <c r="D24" i="8"/>
  <c r="F12" i="5"/>
  <c r="F5" i="3"/>
  <c r="C3" i="1"/>
  <c r="D4" i="7"/>
  <c r="D19" i="8"/>
  <c r="B7" i="8"/>
  <c r="D6" i="8"/>
  <c r="K5" i="3"/>
  <c r="N5" i="3"/>
  <c r="D26" i="8"/>
  <c r="C4" i="1"/>
  <c r="G15" i="8"/>
  <c r="M5" i="3"/>
  <c r="G4" i="1"/>
  <c r="D23" i="8"/>
  <c r="B3" i="1"/>
  <c r="G3" i="1"/>
  <c r="G7" i="3"/>
  <c r="E4" i="7"/>
  <c r="B5" i="3"/>
  <c r="D18" i="8"/>
  <c r="D10" i="8"/>
  <c r="M3" i="9"/>
  <c r="J5" i="3"/>
  <c r="D3" i="8"/>
  <c r="B4" i="7"/>
  <c r="C4" i="7"/>
  <c r="D5" i="3"/>
  <c r="G10" i="8"/>
  <c r="D16" i="8"/>
  <c r="E5" i="3"/>
  <c r="F14" i="5"/>
  <c r="G7" i="8"/>
  <c r="F13" i="5"/>
  <c r="L3" i="9"/>
  <c r="D30" i="8"/>
  <c r="G5" i="3"/>
  <c r="I10" i="5"/>
  <c r="D2" i="8"/>
  <c r="B3" i="9"/>
  <c r="C8" i="5"/>
  <c r="B8" i="8"/>
  <c r="F3" i="1"/>
  <c r="D25" i="8"/>
  <c r="E3" i="1"/>
  <c r="F15" i="5"/>
  <c r="D9" i="8"/>
  <c r="N7" i="3"/>
  <c r="BJ3" i="9"/>
  <c r="C11" i="5"/>
  <c r="M7" i="3"/>
  <c r="F6" i="2"/>
  <c r="K7" i="3"/>
  <c r="C9" i="5"/>
  <c r="J7" i="3"/>
  <c r="G8" i="8"/>
  <c r="F11" i="5"/>
  <c r="D7" i="8"/>
  <c r="F7" i="3"/>
  <c r="H7" i="3"/>
  <c r="D8" i="8"/>
  <c r="D3" i="1"/>
  <c r="E7" i="3"/>
  <c r="B9" i="8"/>
  <c r="D15" i="8"/>
  <c r="D3" i="9"/>
  <c r="D4" i="1"/>
  <c r="E4" i="1"/>
  <c r="D17" i="8"/>
  <c r="F4" i="1"/>
  <c r="I5" i="3"/>
  <c r="I8" i="5"/>
  <c r="C2" i="5"/>
  <c r="F10" i="5"/>
  <c r="H5" i="3"/>
  <c r="L7" i="3"/>
  <c r="I11" i="5"/>
  <c r="G16" i="8"/>
  <c r="J11" i="8" l="1"/>
  <c r="J10" i="8"/>
  <c r="J9" i="8"/>
  <c r="J8" i="8"/>
  <c r="J7" i="8"/>
  <c r="J6" i="8"/>
  <c r="L3" i="1"/>
  <c r="K3" i="1"/>
  <c r="M3" i="1"/>
  <c r="J3" i="1"/>
  <c r="J4" i="1"/>
  <c r="K4" i="1"/>
  <c r="L4" i="1"/>
  <c r="M4" i="1"/>
  <c r="A1" i="3"/>
  <c r="A1" i="1"/>
</calcChain>
</file>

<file path=xl/comments1.xml><?xml version="1.0" encoding="utf-8"?>
<comments xmlns="http://schemas.openxmlformats.org/spreadsheetml/2006/main">
  <authors>
    <author>Javier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Nombre de la hoja donde hay definido un arbol
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Número de la primera fila del arbol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Letra de columna donde esta definida la funcion SDP_TREE_LEVEL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 xml:space="preserve">Funcion SDP_TREE_MAX_LEVEL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Marca de proceso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Nombre de la hoja en la que hay formatos condicionales definidos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Numero de fila donde se encuentran las funciones SDP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Letra de la primera columna con formatos condicionales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Letra de la ultima columna que contiene formatos condiconales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Indicador de proceso realizado</t>
        </r>
      </text>
    </comment>
  </commentList>
</comments>
</file>

<file path=xl/sharedStrings.xml><?xml version="1.0" encoding="utf-8"?>
<sst xmlns="http://schemas.openxmlformats.org/spreadsheetml/2006/main" count="143" uniqueCount="105">
  <si>
    <t>Nombre</t>
  </si>
  <si>
    <t>Referencias</t>
  </si>
  <si>
    <t>Sentencias</t>
  </si>
  <si>
    <t>McCabe</t>
  </si>
  <si>
    <t>Dinamico</t>
  </si>
  <si>
    <t>CALL</t>
  </si>
  <si>
    <t>LINK</t>
  </si>
  <si>
    <t>XCTL</t>
  </si>
  <si>
    <t>Descripcion</t>
  </si>
  <si>
    <t>Resumen</t>
  </si>
  <si>
    <t>Comentarios</t>
  </si>
  <si>
    <t>Lineas</t>
  </si>
  <si>
    <t>Datos</t>
  </si>
  <si>
    <t>Parrafos</t>
  </si>
  <si>
    <t>Entrada/Salida</t>
  </si>
  <si>
    <t>Lineas vacias</t>
  </si>
  <si>
    <t>Control</t>
  </si>
  <si>
    <t>Decoradores</t>
  </si>
  <si>
    <t>Control de flujo</t>
  </si>
  <si>
    <t>Bloques</t>
  </si>
  <si>
    <t>Aritmeticas</t>
  </si>
  <si>
    <t>CICS</t>
  </si>
  <si>
    <t>DB2</t>
  </si>
  <si>
    <t>Logico</t>
  </si>
  <si>
    <t>Tipo</t>
  </si>
  <si>
    <t>Acceso</t>
  </si>
  <si>
    <t>Estado análisis</t>
  </si>
  <si>
    <t>Ficheros</t>
  </si>
  <si>
    <t>Modulos</t>
  </si>
  <si>
    <t>MQ</t>
  </si>
  <si>
    <t>Threadsafe</t>
  </si>
  <si>
    <t>Atributos</t>
  </si>
  <si>
    <t>Memoria</t>
  </si>
  <si>
    <t>{persistence.name}</t>
  </si>
  <si>
    <t>{persistence.dd}</t>
  </si>
  <si>
    <t>{persistence.type}</t>
  </si>
  <si>
    <t>{persistence.access}</t>
  </si>
  <si>
    <t>Usuario</t>
  </si>
  <si>
    <t>ID Version</t>
  </si>
  <si>
    <t>Fuente</t>
  </si>
  <si>
    <t>Estado</t>
  </si>
  <si>
    <t>Arbol</t>
  </si>
  <si>
    <t>Modo</t>
  </si>
  <si>
    <t>Tamaño (Kb)</t>
  </si>
  <si>
    <t>Cobol</t>
  </si>
  <si>
    <t>Exit</t>
  </si>
  <si>
    <t>Media</t>
  </si>
  <si>
    <t>Desv.</t>
  </si>
  <si>
    <t>Complejidad Ciclo.</t>
  </si>
  <si>
    <t>Min.</t>
  </si>
  <si>
    <t>Max.</t>
  </si>
  <si>
    <t>Orden</t>
  </si>
  <si>
    <t>START</t>
  </si>
  <si>
    <t>RETURN</t>
  </si>
  <si>
    <t>Verbo</t>
  </si>
  <si>
    <t>Invocado por</t>
  </si>
  <si>
    <t>Primero</t>
  </si>
  <si>
    <t>Ultimo</t>
  </si>
  <si>
    <t>Nivel</t>
  </si>
  <si>
    <t xml:space="preserve">Invoca a </t>
  </si>
  <si>
    <t>Refs.</t>
  </si>
  <si>
    <t>Hoja</t>
  </si>
  <si>
    <t>Niveles</t>
  </si>
  <si>
    <t>X</t>
  </si>
  <si>
    <t>Metodo</t>
  </si>
  <si>
    <t>Formatos Condicionales</t>
  </si>
  <si>
    <t>Fila</t>
  </si>
  <si>
    <t>Col. Inicio</t>
  </si>
  <si>
    <t>Col. Fin</t>
  </si>
  <si>
    <t>Col. Nivel</t>
  </si>
  <si>
    <t>Col. Nombre</t>
  </si>
  <si>
    <t>Arboles</t>
  </si>
  <si>
    <t>Hecho</t>
  </si>
  <si>
    <t>Para generar los arboles es necesario indicar en que hojas se han definido
Hoja: Nombre de la hoja donde esta definido
Fila: Numero de la fila inicial
Col. Nivel: Letra de la columna donde esta definido SDP_TREE_LEVEL
Nombre: Letra de a columna donde esta definido SDP_TREE_NAME
Niveles: Funcion SDP_TREE_MAX_LEVEL
Hecho: Indicador de arbol de procesado</t>
  </si>
  <si>
    <t>Para aplicar los posibles formatos condicionales existentes asociados a las funciones  es necesario indicar en que hojas buscar
Hoja: Nombre de la hoja en la que se deben aplicar
Fila: Fila donde se han definido las funciones SDP
Col. Inicio: Letra de la primera columna que contiene formatos condicionales
Col. Fin: Letra de la ultima columna que contiene formatos condicionales</t>
  </si>
  <si>
    <t>C</t>
  </si>
  <si>
    <t>D</t>
  </si>
  <si>
    <t>B</t>
  </si>
  <si>
    <t>Verificado en tiempo de ejecucion</t>
  </si>
  <si>
    <t>Definido no verificado</t>
  </si>
  <si>
    <t>Variable no identificada</t>
  </si>
  <si>
    <t>Genera recursion</t>
  </si>
  <si>
    <t>No existe informacion del modulo</t>
  </si>
  <si>
    <t>Leyenda</t>
  </si>
  <si>
    <t>G</t>
  </si>
  <si>
    <t>Tipo modulo</t>
  </si>
  <si>
    <t>Generado</t>
  </si>
  <si>
    <t>ID Modulo</t>
  </si>
  <si>
    <t>Identificadores</t>
  </si>
  <si>
    <t>Dependencias</t>
  </si>
  <si>
    <t>Analizado</t>
  </si>
  <si>
    <t>General</t>
  </si>
  <si>
    <t>Modo llamada</t>
  </si>
  <si>
    <t>Tipo llamada</t>
  </si>
  <si>
    <t>Versiones</t>
  </si>
  <si>
    <t>Id</t>
  </si>
  <si>
    <t>Severidad</t>
  </si>
  <si>
    <t>Linea</t>
  </si>
  <si>
    <t>Issues</t>
  </si>
  <si>
    <t>Nivel 0</t>
  </si>
  <si>
    <t>Nivel 1</t>
  </si>
  <si>
    <t>Nivel 2</t>
  </si>
  <si>
    <t>Nivel 3</t>
  </si>
  <si>
    <t>Nivel 4</t>
  </si>
  <si>
    <t>Nivel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</si>
</sst>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_ ;[Red]\-#,##0\ "/>
    <numFmt numFmtId="165" formatCode="#,##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rgb="FF0070C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double">
        <color rgb="FF0000FF"/>
      </left>
      <right/>
      <top style="double">
        <color rgb="FF0000FF"/>
      </top>
      <bottom/>
      <diagonal/>
    </border>
    <border>
      <left/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/>
      <top/>
      <bottom/>
      <diagonal/>
    </border>
    <border>
      <left/>
      <right style="double">
        <color rgb="FF0000FF"/>
      </right>
      <top/>
      <bottom/>
      <diagonal/>
    </border>
    <border>
      <left/>
      <right/>
      <top style="double">
        <color rgb="FF0000FF"/>
      </top>
      <bottom/>
      <diagonal/>
    </border>
    <border>
      <left style="double">
        <color rgb="FF0000FF"/>
      </left>
      <right/>
      <top/>
      <bottom style="double">
        <color rgb="FF0000FF"/>
      </bottom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 style="thin">
        <color rgb="FF0000FF"/>
      </left>
      <right style="double">
        <color rgb="FF0000FF"/>
      </right>
      <top style="double">
        <color rgb="FF0000FF"/>
      </top>
      <bottom/>
      <diagonal/>
    </border>
    <border>
      <left style="thin">
        <color rgb="FF0000FF"/>
      </left>
      <right style="double">
        <color rgb="FF0000FF"/>
      </right>
      <top/>
      <bottom style="double">
        <color rgb="FF0000FF"/>
      </bottom>
      <diagonal/>
    </border>
    <border>
      <left style="thin">
        <color rgb="FF0000FF"/>
      </left>
      <right style="double">
        <color rgb="FF0000FF"/>
      </right>
      <top/>
      <bottom/>
      <diagonal/>
    </border>
    <border>
      <left style="double">
        <color rgb="FF0000FF"/>
      </left>
      <right style="thin">
        <color rgb="FF0000FF"/>
      </right>
      <top/>
      <bottom/>
      <diagonal/>
    </border>
    <border>
      <left style="double">
        <color rgb="FF0000FF"/>
      </left>
      <right style="thin">
        <color rgb="FF0000FF"/>
      </right>
      <top style="double">
        <color rgb="FF0000FF"/>
      </top>
      <bottom/>
      <diagonal/>
    </border>
    <border>
      <left style="double">
        <color rgb="FF0000FF"/>
      </left>
      <right style="thin">
        <color rgb="FF0000FF"/>
      </right>
      <top/>
      <bottom style="double">
        <color rgb="FF0000FF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double">
        <color rgb="FF0070C0"/>
      </top>
      <bottom/>
      <diagonal/>
    </border>
    <border>
      <left style="double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double">
        <color rgb="FF0070C0"/>
      </top>
      <bottom/>
      <diagonal/>
    </border>
    <border>
      <left style="thin">
        <color rgb="FF0070C0"/>
      </left>
      <right style="double">
        <color rgb="FF0070C0"/>
      </right>
      <top/>
      <bottom/>
      <diagonal/>
    </border>
    <border>
      <left style="thin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double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double">
        <color rgb="FF0070C0"/>
      </top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thin">
        <color rgb="FF0070C0"/>
      </top>
      <bottom style="double">
        <color rgb="FF0070C0"/>
      </bottom>
      <diagonal/>
    </border>
    <border>
      <left/>
      <right style="thin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double">
        <color rgb="FF0070C0"/>
      </right>
      <top style="double">
        <color rgb="FF0070C0"/>
      </top>
      <bottom style="thin">
        <color rgb="FF0070C0"/>
      </bottom>
      <diagonal/>
    </border>
    <border>
      <left style="double">
        <color rgb="FF0070C0"/>
      </left>
      <right/>
      <top style="thin">
        <color rgb="FF0070C0"/>
      </top>
      <bottom style="double">
        <color rgb="FF0070C0"/>
      </bottom>
      <diagonal/>
    </border>
    <border>
      <left/>
      <right/>
      <top style="thin">
        <color rgb="FF0070C0"/>
      </top>
      <bottom style="double">
        <color rgb="FF0070C0"/>
      </bottom>
      <diagonal/>
    </border>
    <border>
      <left/>
      <right style="double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2" fillId="0" borderId="1" xfId="1" applyFont="1" applyBorder="1"/>
    <xf numFmtId="0" fontId="2" fillId="0" borderId="2" xfId="1" applyFont="1" applyBorder="1"/>
    <xf numFmtId="0" fontId="1" fillId="0" borderId="3" xfId="1" applyFont="1" applyBorder="1"/>
    <xf numFmtId="0" fontId="2" fillId="0" borderId="4" xfId="1" applyFont="1" applyBorder="1"/>
    <xf numFmtId="0" fontId="1" fillId="0" borderId="5" xfId="1" applyFont="1" applyBorder="1"/>
    <xf numFmtId="0" fontId="2" fillId="0" borderId="6" xfId="1" applyFont="1" applyBorder="1"/>
    <xf numFmtId="0" fontId="1" fillId="0" borderId="6" xfId="1" applyFont="1" applyBorder="1"/>
    <xf numFmtId="9" fontId="0" fillId="0" borderId="0" xfId="2" applyFont="1"/>
    <xf numFmtId="0" fontId="1" fillId="0" borderId="0" xfId="1" applyAlignment="1">
      <alignment horizontal="center"/>
    </xf>
    <xf numFmtId="0" fontId="2" fillId="0" borderId="7" xfId="1" applyFont="1" applyBorder="1"/>
    <xf numFmtId="0" fontId="2" fillId="0" borderId="0" xfId="1" applyFont="1" applyBorder="1"/>
    <xf numFmtId="0" fontId="1" fillId="0" borderId="0" xfId="1" applyBorder="1" applyAlignment="1">
      <alignment horizontal="right"/>
    </xf>
    <xf numFmtId="0" fontId="1" fillId="0" borderId="8" xfId="1" applyFont="1" applyBorder="1"/>
    <xf numFmtId="0" fontId="1" fillId="0" borderId="9" xfId="1" applyBorder="1"/>
    <xf numFmtId="0" fontId="1" fillId="0" borderId="10" xfId="1" applyBorder="1"/>
    <xf numFmtId="0" fontId="1" fillId="0" borderId="10" xfId="1" applyBorder="1" applyAlignment="1">
      <alignment horizontal="right"/>
    </xf>
    <xf numFmtId="0" fontId="1" fillId="0" borderId="11" xfId="1" applyBorder="1"/>
    <xf numFmtId="0" fontId="1" fillId="0" borderId="9" xfId="1" applyFont="1" applyBorder="1"/>
    <xf numFmtId="0" fontId="1" fillId="0" borderId="11" xfId="1" applyFont="1" applyBorder="1"/>
    <xf numFmtId="0" fontId="1" fillId="0" borderId="10" xfId="1" applyFont="1" applyBorder="1"/>
    <xf numFmtId="164" fontId="0" fillId="0" borderId="0" xfId="0" applyNumberFormat="1"/>
    <xf numFmtId="0" fontId="2" fillId="0" borderId="12" xfId="1" applyFont="1" applyBorder="1"/>
    <xf numFmtId="22" fontId="1" fillId="0" borderId="0" xfId="1" applyNumberFormat="1"/>
    <xf numFmtId="1" fontId="1" fillId="0" borderId="0" xfId="1" applyNumberFormat="1"/>
    <xf numFmtId="0" fontId="2" fillId="0" borderId="13" xfId="1" applyFont="1" applyBorder="1"/>
    <xf numFmtId="0" fontId="1" fillId="0" borderId="11" xfId="1" applyBorder="1" applyAlignment="1">
      <alignment horizontal="right"/>
    </xf>
    <xf numFmtId="0" fontId="2" fillId="0" borderId="14" xfId="1" applyFont="1" applyBorder="1"/>
    <xf numFmtId="165" fontId="1" fillId="0" borderId="9" xfId="1" applyNumberFormat="1" applyBorder="1" applyAlignment="1">
      <alignment horizontal="right"/>
    </xf>
    <xf numFmtId="1" fontId="1" fillId="0" borderId="11" xfId="1" applyNumberFormat="1" applyBorder="1"/>
    <xf numFmtId="0" fontId="1" fillId="0" borderId="16" xfId="1" applyBorder="1"/>
    <xf numFmtId="0" fontId="1" fillId="0" borderId="18" xfId="1" applyBorder="1"/>
    <xf numFmtId="0" fontId="1" fillId="0" borderId="20" xfId="1" applyBorder="1"/>
    <xf numFmtId="0" fontId="2" fillId="0" borderId="15" xfId="1" applyFont="1" applyBorder="1"/>
    <xf numFmtId="0" fontId="1" fillId="0" borderId="22" xfId="1" applyBorder="1"/>
    <xf numFmtId="0" fontId="1" fillId="0" borderId="23" xfId="1" applyBorder="1"/>
    <xf numFmtId="0" fontId="1" fillId="0" borderId="24" xfId="1" applyBorder="1"/>
    <xf numFmtId="0" fontId="1" fillId="0" borderId="25" xfId="1" applyBorder="1"/>
    <xf numFmtId="0" fontId="1" fillId="0" borderId="26" xfId="1" applyBorder="1"/>
    <xf numFmtId="0" fontId="1" fillId="0" borderId="27" xfId="1" applyBorder="1"/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/>
    <xf numFmtId="3" fontId="0" fillId="0" borderId="0" xfId="0" applyNumberFormat="1"/>
    <xf numFmtId="0" fontId="4" fillId="0" borderId="0" xfId="0" applyFont="1"/>
    <xf numFmtId="0" fontId="4" fillId="0" borderId="17" xfId="0" applyFont="1" applyBorder="1"/>
    <xf numFmtId="0" fontId="4" fillId="0" borderId="19" xfId="0" applyFont="1" applyBorder="1"/>
    <xf numFmtId="164" fontId="4" fillId="0" borderId="20" xfId="0" applyNumberFormat="1" applyFont="1" applyBorder="1" applyAlignment="1">
      <alignment horizontal="center" vertical="center"/>
    </xf>
    <xf numFmtId="3" fontId="0" fillId="0" borderId="22" xfId="0" applyNumberFormat="1" applyBorder="1"/>
    <xf numFmtId="3" fontId="0" fillId="0" borderId="28" xfId="0" applyNumberFormat="1" applyBorder="1"/>
    <xf numFmtId="3" fontId="0" fillId="0" borderId="25" xfId="0" applyNumberFormat="1" applyBorder="1"/>
    <xf numFmtId="3" fontId="0" fillId="0" borderId="24" xfId="0" applyNumberFormat="1" applyBorder="1"/>
    <xf numFmtId="3" fontId="0" fillId="0" borderId="29" xfId="0" applyNumberFormat="1" applyBorder="1"/>
    <xf numFmtId="3" fontId="0" fillId="0" borderId="27" xfId="0" applyNumberFormat="1" applyBorder="1"/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1" fillId="0" borderId="0" xfId="1" applyAlignment="1"/>
    <xf numFmtId="0" fontId="6" fillId="0" borderId="0" xfId="1" applyFont="1"/>
    <xf numFmtId="0" fontId="2" fillId="0" borderId="19" xfId="1" applyFont="1" applyBorder="1"/>
    <xf numFmtId="0" fontId="1" fillId="0" borderId="34" xfId="1" applyBorder="1"/>
    <xf numFmtId="0" fontId="2" fillId="0" borderId="35" xfId="1" applyFont="1" applyBorder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6" xfId="1" applyFont="1" applyBorder="1" applyAlignment="1">
      <alignment horizontal="center" vertical="center"/>
    </xf>
    <xf numFmtId="0" fontId="1" fillId="0" borderId="29" xfId="1" applyBorder="1"/>
    <xf numFmtId="0" fontId="1" fillId="0" borderId="38" xfId="1" applyBorder="1"/>
    <xf numFmtId="0" fontId="1" fillId="0" borderId="39" xfId="1" applyBorder="1"/>
    <xf numFmtId="0" fontId="2" fillId="0" borderId="34" xfId="1" applyFont="1" applyBorder="1" applyAlignment="1">
      <alignment horizontal="center"/>
    </xf>
    <xf numFmtId="0" fontId="2" fillId="0" borderId="20" xfId="1" applyFont="1" applyBorder="1" applyAlignment="1">
      <alignment horizontal="center"/>
    </xf>
    <xf numFmtId="0" fontId="1" fillId="0" borderId="40" xfId="1" applyBorder="1"/>
    <xf numFmtId="0" fontId="1" fillId="0" borderId="0" xfId="1" applyBorder="1"/>
    <xf numFmtId="0" fontId="1" fillId="0" borderId="41" xfId="1" applyBorder="1" applyAlignment="1">
      <alignment horizontal="center"/>
    </xf>
    <xf numFmtId="0" fontId="1" fillId="0" borderId="42" xfId="1" applyBorder="1" applyAlignment="1">
      <alignment horizontal="center"/>
    </xf>
    <xf numFmtId="0" fontId="1" fillId="0" borderId="26" xfId="1" applyBorder="1" applyAlignment="1">
      <alignment horizontal="center"/>
    </xf>
    <xf numFmtId="0" fontId="2" fillId="0" borderId="1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23" xfId="1" applyFont="1" applyBorder="1"/>
    <xf numFmtId="0" fontId="2" fillId="0" borderId="24" xfId="1" applyFont="1" applyBorder="1"/>
    <xf numFmtId="0" fontId="7" fillId="0" borderId="0" xfId="0" applyFont="1"/>
    <xf numFmtId="0" fontId="0" fillId="0" borderId="0" xfId="0" applyFont="1"/>
    <xf numFmtId="0" fontId="1" fillId="0" borderId="19" xfId="1" applyBorder="1"/>
    <xf numFmtId="0" fontId="1" fillId="0" borderId="45" xfId="1" applyBorder="1" applyAlignment="1">
      <alignment horizontal="center"/>
    </xf>
    <xf numFmtId="0" fontId="1" fillId="0" borderId="46" xfId="1" applyBorder="1"/>
    <xf numFmtId="0" fontId="1" fillId="0" borderId="47" xfId="1" applyBorder="1"/>
    <xf numFmtId="0" fontId="1" fillId="0" borderId="48" xfId="1" applyBorder="1"/>
    <xf numFmtId="0" fontId="1" fillId="0" borderId="45" xfId="1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11" fillId="0" borderId="24" xfId="0" applyFont="1" applyBorder="1"/>
    <xf numFmtId="0" fontId="8" fillId="0" borderId="23" xfId="0" applyFont="1" applyBorder="1"/>
    <xf numFmtId="0" fontId="12" fillId="0" borderId="23" xfId="0" applyFont="1" applyBorder="1"/>
    <xf numFmtId="0" fontId="4" fillId="0" borderId="23" xfId="0" applyFont="1" applyBorder="1"/>
    <xf numFmtId="0" fontId="1" fillId="0" borderId="0" xfId="1" applyFont="1"/>
    <xf numFmtId="0" fontId="2" fillId="0" borderId="53" xfId="1" applyFont="1" applyBorder="1"/>
    <xf numFmtId="1" fontId="1" fillId="0" borderId="9" xfId="1" applyNumberFormat="1" applyBorder="1"/>
    <xf numFmtId="0" fontId="1" fillId="0" borderId="10" xfId="1" applyNumberFormat="1" applyBorder="1"/>
    <xf numFmtId="0" fontId="1" fillId="0" borderId="5" xfId="1" applyBorder="1"/>
    <xf numFmtId="0" fontId="5" fillId="0" borderId="5" xfId="1" applyFont="1" applyBorder="1"/>
    <xf numFmtId="0" fontId="2" fillId="0" borderId="32" xfId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33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7" fillId="0" borderId="0" xfId="0" applyFont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2" fillId="0" borderId="43" xfId="1" applyFont="1" applyBorder="1" applyAlignment="1">
      <alignment horizontal="center"/>
    </xf>
    <xf numFmtId="0" fontId="2" fillId="0" borderId="44" xfId="1" applyFont="1" applyBorder="1" applyAlignment="1">
      <alignment horizontal="center"/>
    </xf>
    <xf numFmtId="0" fontId="1" fillId="0" borderId="43" xfId="1" applyBorder="1" applyAlignment="1">
      <alignment horizontal="center"/>
    </xf>
    <xf numFmtId="0" fontId="1" fillId="0" borderId="44" xfId="1" applyBorder="1" applyAlignment="1">
      <alignment horizontal="center"/>
    </xf>
    <xf numFmtId="0" fontId="1" fillId="0" borderId="49" xfId="1" applyBorder="1" applyAlignment="1">
      <alignment horizontal="left" vertical="center" wrapText="1"/>
    </xf>
    <xf numFmtId="0" fontId="1" fillId="0" borderId="50" xfId="1" applyBorder="1" applyAlignment="1">
      <alignment horizontal="left" vertical="center" wrapText="1"/>
    </xf>
    <xf numFmtId="0" fontId="1" fillId="0" borderId="51" xfId="1" applyBorder="1" applyAlignment="1">
      <alignment horizontal="left" vertical="center" wrapText="1"/>
    </xf>
    <xf numFmtId="0" fontId="1" fillId="0" borderId="49" xfId="1" applyBorder="1" applyAlignment="1">
      <alignment horizontal="left" vertical="top" wrapText="1"/>
    </xf>
    <xf numFmtId="0" fontId="1" fillId="0" borderId="50" xfId="1" applyBorder="1" applyAlignment="1">
      <alignment horizontal="left" vertical="top" wrapText="1"/>
    </xf>
    <xf numFmtId="0" fontId="1" fillId="0" borderId="51" xfId="1" applyBorder="1" applyAlignment="1">
      <alignment horizontal="left" vertical="top" wrapText="1"/>
    </xf>
    <xf numFmtId="0" fontId="2" fillId="0" borderId="52" xfId="1" applyFont="1" applyBorder="1" applyAlignment="1">
      <alignment horizontal="center"/>
    </xf>
  </cellXfs>
  <cellStyles count="3">
    <cellStyle name="Normal" xfId="0" builtinId="0"/>
    <cellStyle name="Normal 2" xfId="1"/>
    <cellStyle name="Porcentaje 2" xfId="2"/>
  </cellStyles>
  <dxfs count="9">
    <dxf>
      <font>
        <b/>
        <i val="0"/>
        <strike val="0"/>
      </font>
    </dxf>
    <dxf>
      <font>
        <strike val="0"/>
        <color rgb="FFFF0000"/>
      </font>
    </dxf>
    <dxf>
      <font>
        <b/>
        <i/>
        <strike val="0"/>
        <color theme="0" tint="-0.499984740745262"/>
      </font>
    </dxf>
    <dxf>
      <font>
        <b val="0"/>
        <i/>
        <strike val="0"/>
      </font>
    </dxf>
    <dxf>
      <font>
        <b/>
        <i/>
        <strike val="0"/>
        <color rgb="FF7030A0"/>
      </font>
    </dxf>
    <dxf>
      <font>
        <b/>
        <i val="0"/>
        <color rgb="FF7030A0"/>
      </font>
    </dxf>
    <dxf>
      <font>
        <b/>
        <i/>
        <color rgb="FFFF0000"/>
      </font>
    </dxf>
    <dxf>
      <font>
        <b/>
        <i/>
        <strike/>
        <color rgb="FFC00000"/>
      </font>
      <fill>
        <patternFill>
          <bgColor theme="4" tint="0.7999816888943144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Resumen!$J$6:$J$11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Sentencias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Codigo!$E$8:$E$15</c:f>
              <c:strCache>
                <c:ptCount val="8"/>
                <c:pt idx="0">
                  <c:v>Datos</c:v>
                </c:pt>
                <c:pt idx="1">
                  <c:v>Entrada/Salida</c:v>
                </c:pt>
                <c:pt idx="2">
                  <c:v>Control</c:v>
                </c:pt>
                <c:pt idx="3">
                  <c:v>Control de flujo</c:v>
                </c:pt>
                <c:pt idx="4">
                  <c:v>Aritmeticas</c:v>
                </c:pt>
                <c:pt idx="5">
                  <c:v>Cobol</c:v>
                </c:pt>
                <c:pt idx="6">
                  <c:v>CICS</c:v>
                </c:pt>
                <c:pt idx="7">
                  <c:v>DB2</c:v>
                </c:pt>
              </c:strCache>
            </c:strRef>
          </c:cat>
          <c:val>
            <c:numRef>
              <c:f>Codigo!$F$8:$F$15</c:f>
              <c:numCache>
                <c:formatCode>General</c:formatCode>
                <c:ptCount val="8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Parrafos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cat>
          <c:val>
            <c:numRef>
              <c:f>Parrafos!PARR_STMTS</c:f>
              <c:numCache>
                <c:formatCode>#,##0</c:formatCode>
                <c:ptCount val="2"/>
                <c:pt idx="0">
                  <c:v>33</c:v>
                </c:pt>
                <c:pt idx="1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14640"/>
        <c:axId val="-1738216816"/>
      </c:barChart>
      <c:catAx>
        <c:axId val="-17382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6816"/>
        <c:crosses val="autoZero"/>
        <c:auto val="1"/>
        <c:lblAlgn val="ctr"/>
        <c:lblOffset val="100"/>
        <c:noMultiLvlLbl val="0"/>
      </c:catAx>
      <c:valAx>
        <c:axId val="-173821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Instrucciones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Complejidad</a:t>
            </a:r>
            <a:r>
              <a:rPr lang="en-US" baseline="0"/>
              <a:t> Ciclomatica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cat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cat>
          <c:val>
            <c:numRef>
              <c:f>Parrafos!PARR_CC</c:f>
              <c:numCache>
                <c:formatCode>#,##0</c:formatCode>
                <c:ptCount val="2"/>
                <c:pt idx="0">
                  <c:v>12</c:v>
                </c:pt>
                <c:pt idx="1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20624"/>
        <c:axId val="-1738220080"/>
      </c:barChart>
      <c:catAx>
        <c:axId val="-173822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20080"/>
        <c:crosses val="autoZero"/>
        <c:auto val="1"/>
        <c:lblAlgn val="ctr"/>
        <c:lblOffset val="100"/>
        <c:noMultiLvlLbl val="0"/>
      </c:catAx>
      <c:valAx>
        <c:axId val="-173822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2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1"/>
        <c:ser>
          <c:idx val="1"/>
          <c:order val="0"/>
          <c:tx>
            <c:strRef>
              <c:f>Modulos!MOD.NAMES</c:f>
              <c:strCache>
                <c:ptCount val="2"/>
                <c:pt idx="0">
                  <c:v>N/A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Ref>
              <c:f>Modulos!MOD.NAMES</c:f>
              <c:strCache>
                <c:ptCount val="1"/>
                <c:pt idx="0">
                  <c:v>N/A</c:v>
                </c:pt>
              </c:strCache>
            </c:strRef>
          </c:cat>
          <c:val>
            <c:numRef>
              <c:f>[0]!MOD.REFS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19536"/>
        <c:axId val="-1738217360"/>
      </c:barChart>
      <c:catAx>
        <c:axId val="-173821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7360"/>
        <c:crosses val="autoZero"/>
        <c:auto val="1"/>
        <c:lblAlgn val="ctr"/>
        <c:lblOffset val="100"/>
        <c:noMultiLvlLbl val="0"/>
      </c:catAx>
      <c:valAx>
        <c:axId val="-17382173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953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1</xdr:row>
      <xdr:rowOff>180975</xdr:rowOff>
    </xdr:from>
    <xdr:to>
      <xdr:col>17</xdr:col>
      <xdr:colOff>495300</xdr:colOff>
      <xdr:row>15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723900</xdr:colOff>
      <xdr:row>19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5</xdr:row>
      <xdr:rowOff>142874</xdr:rowOff>
    </xdr:from>
    <xdr:to>
      <xdr:col>19</xdr:col>
      <xdr:colOff>657224</xdr:colOff>
      <xdr:row>25</xdr:row>
      <xdr:rowOff>57149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76199</xdr:colOff>
      <xdr:row>26</xdr:row>
      <xdr:rowOff>9525</xdr:rowOff>
    </xdr:from>
    <xdr:to>
      <xdr:col>19</xdr:col>
      <xdr:colOff>657224</xdr:colOff>
      <xdr:row>40</xdr:row>
      <xdr:rowOff>85725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390524</xdr:colOff>
      <xdr:row>2</xdr:row>
      <xdr:rowOff>0</xdr:rowOff>
    </xdr:from>
    <xdr:to>
      <xdr:col>23</xdr:col>
      <xdr:colOff>9524</xdr:colOff>
      <xdr:row>16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J32"/>
  <sheetViews>
    <sheetView showGridLines="0" tabSelected="1" workbookViewId="0">
      <selection activeCell="S21" sqref="S21"/>
    </sheetView>
  </sheetViews>
  <sheetFormatPr baseColWidth="10" defaultColWidth="9.125" defaultRowHeight="15" x14ac:dyDescent="0.25"/>
  <cols>
    <col min="1" max="1" width="9.125" style="1"/>
    <col min="2" max="2" width="2.75" style="1" customWidth="1"/>
    <col min="3" max="3" width="14.875" style="1" customWidth="1"/>
    <col min="4" max="4" width="18.625" style="1" customWidth="1"/>
    <col min="5" max="5" width="15.75" style="1" bestFit="1" customWidth="1"/>
    <col min="6" max="6" width="15.25" style="1" customWidth="1"/>
    <col min="7" max="7" width="8.25" style="1" customWidth="1"/>
    <col min="8" max="8" width="9.125" style="1"/>
    <col min="9" max="9" width="12.375" style="1" customWidth="1"/>
    <col min="10" max="16384" width="9.125" style="1"/>
  </cols>
  <sheetData>
    <row r="2" spans="2:10" x14ac:dyDescent="0.25">
      <c r="C2" s="2" t="s">
        <v>0</v>
      </c>
      <c r="D2" s="3" t="str">
        <f>SDP_MODULE_NAME("Nombre")</f>
        <v>Nombre</v>
      </c>
    </row>
    <row r="3" spans="2:10" x14ac:dyDescent="0.25">
      <c r="C3" s="2" t="s">
        <v>8</v>
      </c>
      <c r="D3" s="1" t="str">
        <f>SDP_MODULE_DESC("Descripcion")</f>
        <v>Descripcion</v>
      </c>
    </row>
    <row r="4" spans="2:10" ht="15.75" thickBot="1" x14ac:dyDescent="0.3"/>
    <row r="5" spans="2:10" ht="16.5" thickTop="1" thickBot="1" x14ac:dyDescent="0.3">
      <c r="C5" s="99" t="s">
        <v>26</v>
      </c>
      <c r="F5" s="4" t="s">
        <v>31</v>
      </c>
      <c r="I5" s="36" t="s">
        <v>98</v>
      </c>
    </row>
    <row r="6" spans="2:10" ht="15.75" thickTop="1" x14ac:dyDescent="0.25">
      <c r="C6" s="28" t="s">
        <v>85</v>
      </c>
      <c r="D6" s="17" t="str">
        <f>SDP_MODULE_TYPE(1)</f>
        <v>1</v>
      </c>
      <c r="F6" s="28" t="s">
        <v>27</v>
      </c>
      <c r="G6" s="6" t="str">
        <f>SDP_SUMMARY_HAS_FILES(1)</f>
        <v>1</v>
      </c>
      <c r="I6" s="37" t="s">
        <v>99</v>
      </c>
      <c r="J6" s="40">
        <f>COUNTIF(Issues!C:C,0)</f>
        <v>0</v>
      </c>
    </row>
    <row r="7" spans="2:10" x14ac:dyDescent="0.25">
      <c r="B7" s="103">
        <f>VALUE(SDP_MODULE_STATUS(1,FALSE))</f>
        <v>1</v>
      </c>
      <c r="C7" s="25" t="s">
        <v>91</v>
      </c>
      <c r="D7" s="20" t="str">
        <f>SDP_MODULE_STATUS("Estado")</f>
        <v>Estado</v>
      </c>
      <c r="F7" s="25" t="s">
        <v>22</v>
      </c>
      <c r="G7" s="8" t="str">
        <f>SDP_SUMMARY_HAS_DB(1)</f>
        <v>1</v>
      </c>
      <c r="I7" s="38" t="s">
        <v>100</v>
      </c>
      <c r="J7" s="41">
        <f>COUNTIF(Issues!C:C,1)</f>
        <v>1</v>
      </c>
    </row>
    <row r="8" spans="2:10" x14ac:dyDescent="0.25">
      <c r="B8" s="103">
        <f>VALUE(SDP_MODULE_COPYS(1,FALSE))</f>
        <v>1</v>
      </c>
      <c r="C8" s="25" t="s">
        <v>12</v>
      </c>
      <c r="D8" s="20" t="str">
        <f>SDP_MODULE_COPYS("FULL")</f>
        <v>FULL</v>
      </c>
      <c r="F8" s="25" t="s">
        <v>21</v>
      </c>
      <c r="G8" s="8" t="str">
        <f>SDP_SUMMARY_HAS_CICS(1)</f>
        <v>1</v>
      </c>
      <c r="I8" s="38" t="s">
        <v>101</v>
      </c>
      <c r="J8" s="41">
        <f>COUNTIF(Issues!C:C,2)</f>
        <v>0</v>
      </c>
    </row>
    <row r="9" spans="2:10" x14ac:dyDescent="0.25">
      <c r="B9" s="103" t="e">
        <f>VALUE(SDP_MODULE_TREE(1,FALSE))</f>
        <v>#VALUE!</v>
      </c>
      <c r="C9" s="25" t="s">
        <v>28</v>
      </c>
      <c r="D9" s="20" t="str">
        <f>IF(SDP_MODULE_TREE(0)&gt;0,"Incompleto","Completo")</f>
        <v>Completo</v>
      </c>
      <c r="F9" s="25" t="s">
        <v>29</v>
      </c>
      <c r="G9" s="8" t="str">
        <f>SDP_SUMMARY_HAS_MQ(1)</f>
        <v>1</v>
      </c>
      <c r="I9" s="38" t="s">
        <v>102</v>
      </c>
      <c r="J9" s="41">
        <f>COUNTIF(Issues!C:C,3)</f>
        <v>0</v>
      </c>
    </row>
    <row r="10" spans="2:10" ht="15.75" thickBot="1" x14ac:dyDescent="0.3">
      <c r="B10" s="102"/>
      <c r="C10" s="30" t="s">
        <v>86</v>
      </c>
      <c r="D10" s="101">
        <f>SDP_TOOLS_DATE()</f>
        <v>42658.939074074071</v>
      </c>
      <c r="F10" s="30" t="s">
        <v>30</v>
      </c>
      <c r="G10" s="16" t="str">
        <f>SDP_SUMMARY_THREADSAFE(0)</f>
        <v>0</v>
      </c>
      <c r="I10" s="38" t="s">
        <v>103</v>
      </c>
      <c r="J10" s="41">
        <f>COUNTIF(Issues!C:C,4)</f>
        <v>0</v>
      </c>
    </row>
    <row r="11" spans="2:10" ht="16.5" thickTop="1" thickBot="1" x14ac:dyDescent="0.3">
      <c r="I11" s="39" t="s">
        <v>104</v>
      </c>
      <c r="J11" s="42">
        <f>COUNTIF(Issues!C:C,5)</f>
        <v>0</v>
      </c>
    </row>
    <row r="12" spans="2:10" ht="16.5" thickTop="1" thickBot="1" x14ac:dyDescent="0.3"/>
    <row r="13" spans="2:10" ht="16.5" thickTop="1" thickBot="1" x14ac:dyDescent="0.3">
      <c r="C13" s="4" t="s">
        <v>88</v>
      </c>
      <c r="F13" s="4" t="s">
        <v>89</v>
      </c>
    </row>
    <row r="14" spans="2:10" ht="15.75" thickTop="1" x14ac:dyDescent="0.25">
      <c r="C14" s="28" t="s">
        <v>87</v>
      </c>
      <c r="D14" s="100" t="str">
        <f>SDP_MODULE_ID(123456789)</f>
        <v>123456789</v>
      </c>
      <c r="E14" s="27"/>
      <c r="F14" s="81" t="s">
        <v>28</v>
      </c>
      <c r="G14" s="40">
        <f>SDP_SUMMARY_MODULES(0)</f>
        <v>0</v>
      </c>
    </row>
    <row r="15" spans="2:10" x14ac:dyDescent="0.25">
      <c r="C15" s="25" t="s">
        <v>38</v>
      </c>
      <c r="D15" s="32" t="str">
        <f>SDP_MODULE_IDVERSION(123456789)</f>
        <v>123456789</v>
      </c>
      <c r="F15" s="81" t="s">
        <v>92</v>
      </c>
      <c r="G15" s="41" t="str">
        <f>SDP_SUMMARY_CALLS_MODE(255)</f>
        <v>255</v>
      </c>
    </row>
    <row r="16" spans="2:10" ht="15.75" thickBot="1" x14ac:dyDescent="0.3">
      <c r="C16" s="25" t="s">
        <v>39</v>
      </c>
      <c r="D16" s="32" t="str">
        <f>SDP_MODULE_IDFILE(123456789)</f>
        <v>123456789</v>
      </c>
      <c r="F16" s="82" t="s">
        <v>93</v>
      </c>
      <c r="G16" s="42" t="str">
        <f>SDP_SUMMARY_CALLS_TYPE(255)</f>
        <v>255</v>
      </c>
    </row>
    <row r="17" spans="3:7" ht="15.75" thickTop="1" x14ac:dyDescent="0.25">
      <c r="C17" s="25" t="s">
        <v>94</v>
      </c>
      <c r="D17" s="32">
        <f>SDP_MODULE_VERSIONS(1)</f>
        <v>1</v>
      </c>
      <c r="F17" s="14"/>
      <c r="G17" s="75"/>
    </row>
    <row r="18" spans="3:7" x14ac:dyDescent="0.25">
      <c r="C18" s="25" t="s">
        <v>37</v>
      </c>
      <c r="D18" s="29" t="str">
        <f>SDP_MODULE_USER("N/A")</f>
        <v>N/A</v>
      </c>
    </row>
    <row r="19" spans="3:7" ht="15.75" thickBot="1" x14ac:dyDescent="0.3">
      <c r="C19" s="30" t="s">
        <v>90</v>
      </c>
      <c r="D19" s="18">
        <f>SDP_MODULE_TMS(10000)</f>
        <v>10000</v>
      </c>
      <c r="E19" s="26"/>
    </row>
    <row r="20" spans="3:7" ht="15.75" thickTop="1" x14ac:dyDescent="0.25"/>
    <row r="21" spans="3:7" ht="15.75" thickBot="1" x14ac:dyDescent="0.3"/>
    <row r="22" spans="3:7" ht="16.5" thickTop="1" thickBot="1" x14ac:dyDescent="0.3">
      <c r="C22" s="4" t="s">
        <v>9</v>
      </c>
    </row>
    <row r="23" spans="3:7" ht="15.75" thickTop="1" x14ac:dyDescent="0.25">
      <c r="C23" s="5" t="s">
        <v>11</v>
      </c>
      <c r="D23" s="21">
        <f>SDP_CODE_LINES(33)</f>
        <v>33</v>
      </c>
    </row>
    <row r="24" spans="3:7" x14ac:dyDescent="0.25">
      <c r="C24" s="7" t="s">
        <v>13</v>
      </c>
      <c r="D24" s="22">
        <f>SDP_CODE_PARAGRAPHS(33)</f>
        <v>33</v>
      </c>
    </row>
    <row r="25" spans="3:7" x14ac:dyDescent="0.25">
      <c r="C25" s="7" t="s">
        <v>2</v>
      </c>
      <c r="D25" s="22">
        <f>SDP_CODE_STATEMENTS(33)</f>
        <v>33</v>
      </c>
    </row>
    <row r="26" spans="3:7" ht="15.75" thickBot="1" x14ac:dyDescent="0.3">
      <c r="C26" s="7" t="s">
        <v>10</v>
      </c>
      <c r="D26" s="23">
        <f>SDP_CODE_COMMENTS(33)+SDP_CODE_BLANKS(33)</f>
        <v>66</v>
      </c>
    </row>
    <row r="27" spans="3:7" ht="15.75" thickTop="1" x14ac:dyDescent="0.25">
      <c r="C27" s="9"/>
      <c r="D27" s="10"/>
    </row>
    <row r="28" spans="3:7" ht="15.75" thickBot="1" x14ac:dyDescent="0.3"/>
    <row r="29" spans="3:7" ht="16.5" thickTop="1" thickBot="1" x14ac:dyDescent="0.3">
      <c r="C29" s="4" t="s">
        <v>32</v>
      </c>
    </row>
    <row r="30" spans="3:7" ht="15.75" thickTop="1" x14ac:dyDescent="0.25">
      <c r="C30" s="5" t="s">
        <v>43</v>
      </c>
      <c r="D30" s="31">
        <f>SDP_SUMMARY_MEMORY(1024) / 1024</f>
        <v>1</v>
      </c>
    </row>
    <row r="31" spans="3:7" ht="15.75" thickBot="1" x14ac:dyDescent="0.3">
      <c r="C31" s="13" t="s">
        <v>4</v>
      </c>
      <c r="D31" s="19" t="str">
        <f>SDP_SUMMARY_ALLOCATE_MEMORY(0)</f>
        <v>0</v>
      </c>
    </row>
    <row r="32" spans="3:7" ht="15.75" thickTop="1" x14ac:dyDescent="0.25">
      <c r="C32" s="14"/>
      <c r="D32" s="15"/>
    </row>
  </sheetData>
  <conditionalFormatting sqref="B7">
    <cfRule type="expression" dxfId="8" priority="4">
      <formula>ISNUMBER($E$14)</formula>
    </cfRule>
    <cfRule type="expression" dxfId="7" priority="5">
      <formula>$E$14 &gt; 10</formula>
    </cfRule>
  </conditionalFormatting>
  <conditionalFormatting sqref="D7">
    <cfRule type="expression" dxfId="6" priority="1">
      <formula>$B$7&gt;10</formula>
    </cfRule>
    <cfRule type="expression" dxfId="5" priority="2">
      <formula>$B$7=3</formula>
    </cfRule>
    <cfRule type="expression" dxfId="4" priority="3">
      <formula>$B$7=4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I16"/>
  <sheetViews>
    <sheetView showGridLines="0" showRowColHeaders="0" workbookViewId="0">
      <selection activeCell="J20" sqref="J20"/>
    </sheetView>
  </sheetViews>
  <sheetFormatPr baseColWidth="10" defaultColWidth="11.375" defaultRowHeight="15" x14ac:dyDescent="0.25"/>
  <cols>
    <col min="1" max="1" width="5.125" style="1" customWidth="1"/>
    <col min="2" max="4" width="11.375" style="1"/>
    <col min="5" max="5" width="19.875" style="1" customWidth="1"/>
    <col min="6" max="7" width="11.375" style="1"/>
    <col min="8" max="8" width="13.75" style="1" customWidth="1"/>
    <col min="9" max="16384" width="11.375" style="1"/>
  </cols>
  <sheetData>
    <row r="2" spans="2:9" x14ac:dyDescent="0.25">
      <c r="B2" s="2" t="s">
        <v>0</v>
      </c>
      <c r="C2" s="3" t="str">
        <f>SDP_MODULE_NAME("Nombre")</f>
        <v>Nombre</v>
      </c>
    </row>
    <row r="3" spans="2:9" x14ac:dyDescent="0.25">
      <c r="B3" s="2"/>
    </row>
    <row r="6" spans="2:9" ht="15.75" thickBot="1" x14ac:dyDescent="0.3"/>
    <row r="7" spans="2:9" ht="16.5" thickTop="1" thickBot="1" x14ac:dyDescent="0.3">
      <c r="B7" s="4" t="s">
        <v>9</v>
      </c>
      <c r="E7" s="36" t="s">
        <v>2</v>
      </c>
      <c r="H7" s="36" t="s">
        <v>10</v>
      </c>
    </row>
    <row r="8" spans="2:9" ht="15.75" thickTop="1" x14ac:dyDescent="0.25">
      <c r="B8" s="5" t="s">
        <v>11</v>
      </c>
      <c r="C8" s="6">
        <f>SDP_CODE_LINES(33)</f>
        <v>33</v>
      </c>
      <c r="E8" s="37" t="s">
        <v>12</v>
      </c>
      <c r="F8" s="33">
        <f>SDP_CODE_STATEMENTS_DATA(33)</f>
        <v>33</v>
      </c>
      <c r="H8" s="37" t="s">
        <v>11</v>
      </c>
      <c r="I8" s="33">
        <f>SDP_CODE_COMMENTS(33)</f>
        <v>33</v>
      </c>
    </row>
    <row r="9" spans="2:9" x14ac:dyDescent="0.25">
      <c r="B9" s="7" t="s">
        <v>13</v>
      </c>
      <c r="C9" s="8">
        <f>SDP_CODE_PARAGRAPHS(33)</f>
        <v>33</v>
      </c>
      <c r="E9" s="38" t="s">
        <v>14</v>
      </c>
      <c r="F9" s="34">
        <f>SDP_CODE_STATEMENTS_IO(33)</f>
        <v>33</v>
      </c>
      <c r="H9" s="38" t="s">
        <v>15</v>
      </c>
      <c r="I9" s="34">
        <f>SDP_CODE_BLANKS(33)</f>
        <v>33</v>
      </c>
    </row>
    <row r="10" spans="2:9" x14ac:dyDescent="0.25">
      <c r="B10" s="7" t="s">
        <v>2</v>
      </c>
      <c r="C10" s="8">
        <f>SDP_CODE_STATEMENTS(33)</f>
        <v>33</v>
      </c>
      <c r="E10" s="38" t="s">
        <v>16</v>
      </c>
      <c r="F10" s="34">
        <f>SDP_CODE_STATEMENTS_CONTROL(33)</f>
        <v>33</v>
      </c>
      <c r="H10" s="38" t="s">
        <v>17</v>
      </c>
      <c r="I10" s="34">
        <f>SDP_CODE_COMMENTS_DECORATORS(33)</f>
        <v>33</v>
      </c>
    </row>
    <row r="11" spans="2:9" ht="15.75" thickBot="1" x14ac:dyDescent="0.3">
      <c r="B11" s="7" t="s">
        <v>10</v>
      </c>
      <c r="C11" s="8">
        <f>SDP_CODE_COMMENTS(33)+SDP_CODE_BLANKS(33)</f>
        <v>66</v>
      </c>
      <c r="E11" s="38" t="s">
        <v>18</v>
      </c>
      <c r="F11" s="34">
        <f>SDP_CODE_STATEMENTS_FLOW(33)</f>
        <v>33</v>
      </c>
      <c r="H11" s="39" t="s">
        <v>19</v>
      </c>
      <c r="I11" s="35">
        <f>SDP_CODE_COMMENTS_BLOCKS(33)</f>
        <v>33</v>
      </c>
    </row>
    <row r="12" spans="2:9" ht="15.75" thickTop="1" x14ac:dyDescent="0.25">
      <c r="B12" s="9"/>
      <c r="C12" s="10"/>
      <c r="E12" s="38" t="s">
        <v>20</v>
      </c>
      <c r="F12" s="34">
        <f>SDP_CODE_STATEMENTS_ARIT(33)</f>
        <v>33</v>
      </c>
      <c r="I12" s="11"/>
    </row>
    <row r="13" spans="2:9" x14ac:dyDescent="0.25">
      <c r="E13" s="38" t="s">
        <v>44</v>
      </c>
      <c r="F13" s="34">
        <f>SDP_CODE_STATEMENTS_LANG(33)</f>
        <v>33</v>
      </c>
    </row>
    <row r="14" spans="2:9" x14ac:dyDescent="0.25">
      <c r="E14" s="38" t="s">
        <v>21</v>
      </c>
      <c r="F14" s="34">
        <f>SDP_CODE_STATEMENTS_CICS(33)</f>
        <v>33</v>
      </c>
    </row>
    <row r="15" spans="2:9" ht="15.75" thickBot="1" x14ac:dyDescent="0.3">
      <c r="E15" s="39" t="s">
        <v>22</v>
      </c>
      <c r="F15" s="35">
        <f>SDP_CODE_STATEMENTS_SQL(33)</f>
        <v>33</v>
      </c>
    </row>
    <row r="16" spans="2:9" ht="15.75" thickTop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5"/>
  <sheetViews>
    <sheetView showGridLines="0" showRowColHeaders="0" workbookViewId="0"/>
  </sheetViews>
  <sheetFormatPr baseColWidth="10" defaultRowHeight="15" x14ac:dyDescent="0.25"/>
  <cols>
    <col min="1" max="1" width="5.75" customWidth="1"/>
    <col min="2" max="2" width="9.375" customWidth="1"/>
    <col min="3" max="3" width="33.625" customWidth="1"/>
    <col min="4" max="4" width="17.125" style="24" customWidth="1"/>
    <col min="5" max="5" width="16.625" style="24" customWidth="1"/>
    <col min="6" max="6" width="17.25" style="24" customWidth="1"/>
    <col min="8" max="8" width="11.875" bestFit="1" customWidth="1"/>
    <col min="9" max="9" width="18.875" customWidth="1"/>
    <col min="10" max="10" width="8.625" customWidth="1"/>
  </cols>
  <sheetData>
    <row r="1" spans="1:13" ht="15.75" thickBot="1" x14ac:dyDescent="0.3">
      <c r="A1" s="45">
        <f>COUNTA($C:$C)-1</f>
        <v>2</v>
      </c>
      <c r="B1" s="45"/>
    </row>
    <row r="2" spans="1:13" ht="16.5" thickTop="1" thickBot="1" x14ac:dyDescent="0.3">
      <c r="B2" s="47" t="s">
        <v>51</v>
      </c>
      <c r="C2" s="43" t="s">
        <v>0</v>
      </c>
      <c r="D2" s="44" t="s">
        <v>1</v>
      </c>
      <c r="E2" s="44" t="s">
        <v>2</v>
      </c>
      <c r="F2" s="44" t="s">
        <v>3</v>
      </c>
      <c r="G2" s="44" t="s">
        <v>45</v>
      </c>
      <c r="I2" s="50"/>
      <c r="J2" s="59" t="s">
        <v>46</v>
      </c>
      <c r="K2" s="57" t="s">
        <v>49</v>
      </c>
      <c r="L2" s="60" t="s">
        <v>50</v>
      </c>
      <c r="M2" s="58" t="s">
        <v>47</v>
      </c>
    </row>
    <row r="3" spans="1:13" ht="15.75" thickTop="1" x14ac:dyDescent="0.25">
      <c r="B3">
        <f>SDP_PARR_ORDER(1)</f>
        <v>1</v>
      </c>
      <c r="C3" t="str">
        <f>SDP_PARR_NAME("Nombre")</f>
        <v>Nombre</v>
      </c>
      <c r="D3" s="46">
        <f>SDP_PARR_REFERENCES(33)</f>
        <v>33</v>
      </c>
      <c r="E3" s="46">
        <f>SDP_PARR_STATEMENTS(33)</f>
        <v>33</v>
      </c>
      <c r="F3" s="46">
        <f>SDP_PARR_CC(12)</f>
        <v>12</v>
      </c>
      <c r="G3" s="46">
        <f>SDP_PARR_EXIT(0)</f>
        <v>0</v>
      </c>
      <c r="I3" s="48" t="s">
        <v>2</v>
      </c>
      <c r="J3" s="51">
        <f>HARMEAN(E:E)</f>
        <v>26.4</v>
      </c>
      <c r="K3" s="52">
        <f>MIN(E:E)</f>
        <v>22</v>
      </c>
      <c r="L3" s="52">
        <f>MAX(E:E)</f>
        <v>33</v>
      </c>
      <c r="M3" s="53">
        <f>_xlfn.STDEV.S(E:E)</f>
        <v>7.7781745930520225</v>
      </c>
    </row>
    <row r="4" spans="1:13" ht="15.75" thickBot="1" x14ac:dyDescent="0.3">
      <c r="C4" t="str">
        <f>SDP_TOOLS_TMP("Parr 1")</f>
        <v>Parr 1</v>
      </c>
      <c r="D4" s="46">
        <f>SDP_TOOLS_TMP(22)</f>
        <v>22</v>
      </c>
      <c r="E4" s="46">
        <f>SDP_TOOLS_TMP(22)</f>
        <v>22</v>
      </c>
      <c r="F4" s="46">
        <f>SDP_TOOLS_TMP(22)</f>
        <v>22</v>
      </c>
      <c r="G4" s="46">
        <f>SDP_TOOLS_TMP(1)</f>
        <v>1</v>
      </c>
      <c r="I4" s="49" t="s">
        <v>48</v>
      </c>
      <c r="J4" s="54">
        <f>HARMEAN(F:F)</f>
        <v>15.529411764705882</v>
      </c>
      <c r="K4" s="55">
        <f>MIN(F:F)</f>
        <v>12</v>
      </c>
      <c r="L4" s="55">
        <f>MAX(F:F)</f>
        <v>22</v>
      </c>
      <c r="M4" s="56">
        <f>_xlfn.STDEV.S(F:F)</f>
        <v>7.0710678118654755</v>
      </c>
    </row>
    <row r="5" spans="1:13" ht="15.75" thickTop="1" x14ac:dyDescent="0.25"/>
  </sheetData>
  <autoFilter ref="B2:G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4"/>
  <sheetViews>
    <sheetView workbookViewId="0">
      <selection activeCell="F10" sqref="F10"/>
    </sheetView>
  </sheetViews>
  <sheetFormatPr baseColWidth="10" defaultColWidth="11.375" defaultRowHeight="15" x14ac:dyDescent="0.25"/>
  <cols>
    <col min="1" max="1" width="18.25" style="1" customWidth="1"/>
    <col min="2" max="2" width="19.375" style="1" customWidth="1"/>
    <col min="3" max="5" width="11.375" style="1"/>
    <col min="6" max="6" width="11.875" style="1" bestFit="1" customWidth="1"/>
    <col min="7" max="16384" width="11.375" style="1"/>
  </cols>
  <sheetData>
    <row r="3" spans="1:4" x14ac:dyDescent="0.25">
      <c r="A3" s="1" t="s">
        <v>0</v>
      </c>
      <c r="B3" s="1" t="s">
        <v>23</v>
      </c>
      <c r="C3" s="1" t="s">
        <v>24</v>
      </c>
      <c r="D3" s="1" t="s">
        <v>25</v>
      </c>
    </row>
    <row r="4" spans="1:4" x14ac:dyDescent="0.25">
      <c r="A4" s="1" t="s">
        <v>33</v>
      </c>
      <c r="B4" s="1" t="s">
        <v>34</v>
      </c>
      <c r="C4" s="1" t="s">
        <v>35</v>
      </c>
      <c r="D4" s="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E4"/>
  <sheetViews>
    <sheetView showGridLines="0" workbookViewId="0">
      <selection activeCell="B4" sqref="B4"/>
    </sheetView>
  </sheetViews>
  <sheetFormatPr baseColWidth="10" defaultColWidth="9.125" defaultRowHeight="15" x14ac:dyDescent="0.25"/>
  <cols>
    <col min="1" max="1" width="9.125" style="1"/>
    <col min="2" max="2" width="15.125" style="1" customWidth="1"/>
    <col min="3" max="3" width="12.375" style="1" customWidth="1"/>
    <col min="4" max="4" width="9.125" style="12"/>
    <col min="5" max="16384" width="9.125" style="1"/>
  </cols>
  <sheetData>
    <row r="3" spans="2:5" x14ac:dyDescent="0.25">
      <c r="B3" s="61" t="s">
        <v>0</v>
      </c>
      <c r="C3" s="61" t="s">
        <v>42</v>
      </c>
      <c r="D3" s="61" t="s">
        <v>24</v>
      </c>
      <c r="E3" s="61" t="s">
        <v>40</v>
      </c>
    </row>
    <row r="4" spans="2:5" x14ac:dyDescent="0.25">
      <c r="B4" s="62" t="str">
        <f>SDP_COPY_NAME("AAAAAAAA")</f>
        <v>AAAAAAAA</v>
      </c>
      <c r="C4" s="62" t="str">
        <f>SDP_COPY_MODE(1)</f>
        <v>1</v>
      </c>
      <c r="D4" s="62" t="str">
        <f>SDP_COPY_TYPE(1)</f>
        <v>1</v>
      </c>
      <c r="E4" s="62" t="str">
        <f>SDP_COPY_STATUS(1)</f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O7"/>
  <sheetViews>
    <sheetView showGridLines="0" workbookViewId="0">
      <selection activeCell="F12" sqref="F12"/>
    </sheetView>
  </sheetViews>
  <sheetFormatPr baseColWidth="10" defaultColWidth="9.125" defaultRowHeight="15" x14ac:dyDescent="0.25"/>
  <cols>
    <col min="1" max="1" width="9.125" style="1"/>
    <col min="2" max="2" width="20" style="1" customWidth="1"/>
    <col min="3" max="3" width="9.125" style="1"/>
    <col min="4" max="4" width="21.75" style="1" customWidth="1"/>
    <col min="5" max="5" width="9.125" style="1"/>
    <col min="6" max="6" width="13" style="1" customWidth="1"/>
    <col min="7" max="7" width="9.125" style="1"/>
    <col min="8" max="14" width="6.625" style="1" customWidth="1"/>
    <col min="15" max="16384" width="9.125" style="1"/>
  </cols>
  <sheetData>
    <row r="1" spans="1:15" x14ac:dyDescent="0.25">
      <c r="A1" s="1">
        <f>COUNTA(D:D)-2</f>
        <v>2</v>
      </c>
    </row>
    <row r="2" spans="1:15" ht="19.5" thickBot="1" x14ac:dyDescent="0.35">
      <c r="B2" s="63" t="s">
        <v>55</v>
      </c>
      <c r="D2" s="107" t="s">
        <v>59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</row>
    <row r="3" spans="1:15" ht="16.5" thickTop="1" thickBot="1" x14ac:dyDescent="0.3">
      <c r="B3" s="2"/>
      <c r="D3" s="65"/>
      <c r="E3" s="65"/>
      <c r="F3" s="72"/>
      <c r="G3" s="73"/>
      <c r="H3" s="104" t="s">
        <v>58</v>
      </c>
      <c r="I3" s="105"/>
      <c r="J3" s="106" t="s">
        <v>54</v>
      </c>
      <c r="K3" s="106"/>
      <c r="L3" s="106"/>
      <c r="M3" s="106"/>
      <c r="N3" s="105"/>
    </row>
    <row r="4" spans="1:15" ht="16.5" thickTop="1" thickBot="1" x14ac:dyDescent="0.3">
      <c r="B4" s="36" t="s">
        <v>0</v>
      </c>
      <c r="D4" s="64" t="s">
        <v>0</v>
      </c>
      <c r="E4" s="79" t="s">
        <v>60</v>
      </c>
      <c r="F4" s="79" t="s">
        <v>42</v>
      </c>
      <c r="G4" s="80" t="s">
        <v>40</v>
      </c>
      <c r="H4" s="66" t="s">
        <v>56</v>
      </c>
      <c r="I4" s="67" t="s">
        <v>57</v>
      </c>
      <c r="J4" s="66" t="s">
        <v>5</v>
      </c>
      <c r="K4" s="68" t="s">
        <v>6</v>
      </c>
      <c r="L4" s="68" t="s">
        <v>7</v>
      </c>
      <c r="M4" s="68" t="s">
        <v>52</v>
      </c>
      <c r="N4" s="67" t="s">
        <v>53</v>
      </c>
    </row>
    <row r="5" spans="1:15" ht="15.75" thickTop="1" x14ac:dyDescent="0.25">
      <c r="B5" s="74" t="str">
        <f>SDP_CALLER_NAME("Llamador")</f>
        <v>Llamador</v>
      </c>
      <c r="D5" s="74" t="str">
        <f>SDP_CALLED_NAME("N/A",1000)</f>
        <v>N/A</v>
      </c>
      <c r="E5" s="75">
        <f>SDP_CALLED_REFS(1)</f>
        <v>1</v>
      </c>
      <c r="F5" s="74" t="str">
        <f>SDP_CALLED_MODE(3)</f>
        <v>3</v>
      </c>
      <c r="G5" s="75" t="str">
        <f>SDP_CALLED_STATUS(1)</f>
        <v>1</v>
      </c>
      <c r="H5" s="38">
        <f>SDP_CALLED_FIRST(1)</f>
        <v>1</v>
      </c>
      <c r="I5" s="41">
        <f>SDP_CALLED_LAST(1)</f>
        <v>1</v>
      </c>
      <c r="J5" s="76" t="str">
        <f>IF(_xlfn.BITAND(SDP_CALLED_METHOD(1,FALSE),1) &gt; 0,"X","")</f>
        <v>X</v>
      </c>
      <c r="K5" s="77" t="str">
        <f>IF(_xlfn.BITAND(SDP_CALLED_METHOD(1,FALSE),2) &gt; 0,"X","")</f>
        <v/>
      </c>
      <c r="L5" s="77" t="str">
        <f>IF(_xlfn.BITAND(SDP_CALLED_METHOD(1,FALSE),4) &gt; 0,"X","")</f>
        <v/>
      </c>
      <c r="M5" s="77" t="str">
        <f>IF(_xlfn.BITAND(SDP_CALLED_METHOD(1,FALSE),8) &gt; 0,"X","")</f>
        <v/>
      </c>
      <c r="N5" s="78" t="str">
        <f>IF(_xlfn.BITAND(SDP_CALLED_METHOD(1,FALSE),16) &gt; 0,"X","")</f>
        <v/>
      </c>
      <c r="O5" s="12"/>
    </row>
    <row r="6" spans="1:15" ht="15.75" thickBot="1" x14ac:dyDescent="0.3">
      <c r="B6" s="71"/>
      <c r="D6" s="71"/>
      <c r="E6" s="65"/>
      <c r="F6" s="71"/>
      <c r="G6" s="65"/>
      <c r="H6" s="39"/>
      <c r="I6" s="42"/>
      <c r="J6" s="70"/>
      <c r="K6" s="69"/>
      <c r="L6" s="69"/>
      <c r="M6" s="69"/>
      <c r="N6" s="42"/>
    </row>
    <row r="7" spans="1:15" ht="15.75" thickTop="1" x14ac:dyDescent="0.25">
      <c r="D7" s="1" t="str">
        <f>SDP_TOOLS_CELL()</f>
        <v/>
      </c>
      <c r="E7" s="1" t="str">
        <f t="shared" ref="E7:N7" si="0">SDP_TOOLS_CELL()</f>
        <v/>
      </c>
      <c r="F7" s="1" t="str">
        <f t="shared" si="0"/>
        <v/>
      </c>
      <c r="G7" s="1" t="str">
        <f t="shared" si="0"/>
        <v/>
      </c>
      <c r="H7" s="1" t="str">
        <f t="shared" si="0"/>
        <v/>
      </c>
      <c r="I7" s="1" t="str">
        <f t="shared" si="0"/>
        <v/>
      </c>
      <c r="J7" s="1" t="str">
        <f t="shared" si="0"/>
        <v/>
      </c>
      <c r="K7" s="1" t="str">
        <f t="shared" si="0"/>
        <v/>
      </c>
      <c r="L7" s="1" t="str">
        <f t="shared" si="0"/>
        <v/>
      </c>
      <c r="M7" s="1" t="str">
        <f t="shared" si="0"/>
        <v/>
      </c>
      <c r="N7" s="1" t="str">
        <f t="shared" si="0"/>
        <v/>
      </c>
    </row>
  </sheetData>
  <mergeCells count="3">
    <mergeCell ref="H3:I3"/>
    <mergeCell ref="J3:N3"/>
    <mergeCell ref="D2:N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outlinePr summaryBelow="0" summaryRight="0"/>
  </sheetPr>
  <dimension ref="B1:CZ8"/>
  <sheetViews>
    <sheetView showGridLines="0" workbookViewId="0">
      <selection activeCell="L3" sqref="L3"/>
    </sheetView>
  </sheetViews>
  <sheetFormatPr baseColWidth="10" defaultRowHeight="15" x14ac:dyDescent="0.25"/>
  <cols>
    <col min="1" max="1" width="5.25" customWidth="1"/>
    <col min="2" max="2" width="3.5" customWidth="1"/>
    <col min="3" max="3" width="3.25" customWidth="1"/>
    <col min="4" max="11" width="4.625" customWidth="1"/>
    <col min="12" max="12" width="8.625" customWidth="1"/>
    <col min="16" max="16" width="27.75" bestFit="1" customWidth="1"/>
  </cols>
  <sheetData>
    <row r="1" spans="2:104" ht="15.75" thickBot="1" x14ac:dyDescent="0.3"/>
    <row r="2" spans="2:104" ht="16.5" thickTop="1" thickBot="1" x14ac:dyDescent="0.3">
      <c r="D2" s="108" t="s">
        <v>0</v>
      </c>
      <c r="E2" s="108"/>
      <c r="F2" s="108"/>
      <c r="G2" s="108"/>
      <c r="H2" s="108"/>
      <c r="I2" s="108"/>
      <c r="J2" s="108"/>
      <c r="K2" s="108"/>
      <c r="L2" s="83" t="s">
        <v>64</v>
      </c>
      <c r="M2" s="83" t="s">
        <v>40</v>
      </c>
      <c r="O2" s="109" t="s">
        <v>83</v>
      </c>
      <c r="P2" s="110"/>
    </row>
    <row r="3" spans="2:104" ht="15.75" thickTop="1" x14ac:dyDescent="0.25">
      <c r="B3" t="str">
        <f>SDP_TREE_RECURSIVE(1)</f>
        <v>1</v>
      </c>
      <c r="C3">
        <f>SDP_TREE_LEVEL(0)</f>
        <v>0</v>
      </c>
      <c r="D3" t="str">
        <f>SDP_TREE_NAME("Arbol")</f>
        <v>Arbol</v>
      </c>
      <c r="L3" t="str">
        <f>SDP_TREE_METHOD(1)</f>
        <v>1</v>
      </c>
      <c r="M3" t="str">
        <f>SDP_TREE_STATUS(1)</f>
        <v>1</v>
      </c>
      <c r="N3" s="84"/>
      <c r="O3" s="97" t="s">
        <v>0</v>
      </c>
      <c r="P3" s="92" t="s">
        <v>78</v>
      </c>
      <c r="BJ3" t="str">
        <f>SDP_TREE_STATUS(0,FALSE)</f>
        <v>0</v>
      </c>
      <c r="CX3" t="s">
        <v>63</v>
      </c>
      <c r="CZ3" t="s">
        <v>63</v>
      </c>
    </row>
    <row r="4" spans="2:104" x14ac:dyDescent="0.25">
      <c r="O4" s="91" t="s">
        <v>0</v>
      </c>
      <c r="P4" s="92" t="s">
        <v>79</v>
      </c>
    </row>
    <row r="5" spans="2:104" x14ac:dyDescent="0.25">
      <c r="O5" s="96" t="s">
        <v>0</v>
      </c>
      <c r="P5" s="92" t="s">
        <v>80</v>
      </c>
    </row>
    <row r="6" spans="2:104" x14ac:dyDescent="0.25">
      <c r="O6" s="95" t="s">
        <v>0</v>
      </c>
      <c r="P6" s="92" t="s">
        <v>81</v>
      </c>
    </row>
    <row r="7" spans="2:104" ht="15.75" thickBot="1" x14ac:dyDescent="0.3">
      <c r="O7" s="94" t="s">
        <v>0</v>
      </c>
      <c r="P7" s="93" t="s">
        <v>82</v>
      </c>
    </row>
    <row r="8" spans="2:104" ht="15.75" thickTop="1" x14ac:dyDescent="0.25"/>
  </sheetData>
  <mergeCells count="2">
    <mergeCell ref="D2:K2"/>
    <mergeCell ref="O2:P2"/>
  </mergeCells>
  <conditionalFormatting sqref="C3:M3">
    <cfRule type="expression" dxfId="3" priority="12">
      <formula>$M3="1"</formula>
    </cfRule>
    <cfRule type="expression" dxfId="2" priority="13">
      <formula>$M3="16"</formula>
    </cfRule>
    <cfRule type="expression" dxfId="1" priority="14">
      <formula>$B3="1"</formula>
    </cfRule>
    <cfRule type="expression" dxfId="0" priority="15">
      <formula>$M3="8"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J3"/>
  <sheetViews>
    <sheetView workbookViewId="0">
      <selection activeCell="E8" sqref="E8"/>
    </sheetView>
  </sheetViews>
  <sheetFormatPr baseColWidth="10" defaultRowHeight="15" x14ac:dyDescent="0.25"/>
  <cols>
    <col min="3" max="3" width="13.125" customWidth="1"/>
  </cols>
  <sheetData>
    <row r="2" spans="2:10" x14ac:dyDescent="0.25">
      <c r="B2" s="83" t="s">
        <v>95</v>
      </c>
      <c r="C2" s="83" t="s">
        <v>96</v>
      </c>
      <c r="D2" s="83" t="s">
        <v>97</v>
      </c>
      <c r="E2" s="108" t="s">
        <v>8</v>
      </c>
      <c r="F2" s="108"/>
      <c r="G2" s="108"/>
      <c r="H2" s="108"/>
      <c r="I2" s="108"/>
      <c r="J2" s="83"/>
    </row>
    <row r="3" spans="2:10" x14ac:dyDescent="0.25">
      <c r="B3">
        <f>SDP_ISSUE_ID(1)</f>
        <v>1</v>
      </c>
      <c r="C3">
        <f>SDP_ISSUE_SEVERITY(1)</f>
        <v>1</v>
      </c>
      <c r="D3">
        <f>SDP_ISSUE_BEG_LINE(1)</f>
        <v>1</v>
      </c>
      <c r="E3" t="str">
        <f>SDP_ISSUE_DESC("Prueba")</f>
        <v>Prueba</v>
      </c>
    </row>
  </sheetData>
  <autoFilter ref="B2:D2"/>
  <mergeCells count="1">
    <mergeCell ref="E2:I2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M6"/>
  <sheetViews>
    <sheetView showGridLines="0" workbookViewId="0">
      <selection activeCell="M6" sqref="M6"/>
    </sheetView>
  </sheetViews>
  <sheetFormatPr baseColWidth="10" defaultColWidth="11.375" defaultRowHeight="15" x14ac:dyDescent="0.25"/>
  <cols>
    <col min="1" max="1" width="10.75" style="1" customWidth="1"/>
    <col min="2" max="16384" width="11.375" style="1"/>
  </cols>
  <sheetData>
    <row r="1" spans="2:13" x14ac:dyDescent="0.25">
      <c r="B1" s="121" t="s">
        <v>71</v>
      </c>
      <c r="C1" s="121"/>
      <c r="D1" s="121"/>
      <c r="E1" s="121"/>
      <c r="F1" s="121"/>
      <c r="G1" s="121"/>
      <c r="I1" s="121" t="s">
        <v>65</v>
      </c>
      <c r="J1" s="121"/>
      <c r="K1" s="121"/>
      <c r="L1" s="121"/>
      <c r="M1" s="121"/>
    </row>
    <row r="2" spans="2:13" ht="111" customHeight="1" x14ac:dyDescent="0.25">
      <c r="B2" s="115" t="s">
        <v>73</v>
      </c>
      <c r="C2" s="116"/>
      <c r="D2" s="116"/>
      <c r="E2" s="116"/>
      <c r="F2" s="116"/>
      <c r="G2" s="117"/>
      <c r="I2" s="118" t="s">
        <v>74</v>
      </c>
      <c r="J2" s="119"/>
      <c r="K2" s="119"/>
      <c r="L2" s="119"/>
      <c r="M2" s="120"/>
    </row>
    <row r="3" spans="2:13" ht="15.75" thickBot="1" x14ac:dyDescent="0.3"/>
    <row r="4" spans="2:13" ht="15.75" thickTop="1" x14ac:dyDescent="0.25">
      <c r="B4" s="113" t="s">
        <v>71</v>
      </c>
      <c r="C4" s="114"/>
      <c r="D4" s="114"/>
      <c r="E4" s="114"/>
      <c r="F4" s="114"/>
      <c r="G4" s="86"/>
      <c r="I4" s="111" t="s">
        <v>65</v>
      </c>
      <c r="J4" s="112"/>
      <c r="K4" s="112"/>
      <c r="L4" s="112"/>
      <c r="M4" s="90"/>
    </row>
    <row r="5" spans="2:13" ht="15.75" thickBot="1" x14ac:dyDescent="0.3">
      <c r="B5" s="85" t="s">
        <v>61</v>
      </c>
      <c r="C5" s="65" t="s">
        <v>66</v>
      </c>
      <c r="D5" s="65" t="s">
        <v>69</v>
      </c>
      <c r="E5" s="65" t="s">
        <v>70</v>
      </c>
      <c r="F5" s="65" t="s">
        <v>62</v>
      </c>
      <c r="G5" s="35" t="s">
        <v>72</v>
      </c>
      <c r="I5" s="87" t="s">
        <v>61</v>
      </c>
      <c r="J5" s="88" t="s">
        <v>66</v>
      </c>
      <c r="K5" s="88" t="s">
        <v>67</v>
      </c>
      <c r="L5" s="88" t="s">
        <v>68</v>
      </c>
      <c r="M5" s="89" t="s">
        <v>72</v>
      </c>
    </row>
    <row r="6" spans="2:13" ht="15.75" thickTop="1" x14ac:dyDescent="0.25">
      <c r="B6" s="1" t="s">
        <v>41</v>
      </c>
      <c r="C6" s="1">
        <v>3</v>
      </c>
      <c r="D6" s="1" t="s">
        <v>75</v>
      </c>
      <c r="E6" s="1" t="s">
        <v>76</v>
      </c>
      <c r="F6" s="1">
        <f>SDP_TREE_MAX_LEVEL(5)</f>
        <v>5</v>
      </c>
      <c r="I6" s="1" t="s">
        <v>41</v>
      </c>
      <c r="J6" s="1">
        <v>3</v>
      </c>
      <c r="K6" s="1" t="s">
        <v>77</v>
      </c>
      <c r="L6" s="1" t="s">
        <v>84</v>
      </c>
      <c r="M6" s="98"/>
    </row>
  </sheetData>
  <mergeCells count="6">
    <mergeCell ref="I4:L4"/>
    <mergeCell ref="B4:F4"/>
    <mergeCell ref="B2:G2"/>
    <mergeCell ref="I2:M2"/>
    <mergeCell ref="I1:M1"/>
    <mergeCell ref="B1:G1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Resumen</vt:lpstr>
      <vt:lpstr>Codigo</vt:lpstr>
      <vt:lpstr>Parrafos</vt:lpstr>
      <vt:lpstr>Persistencia</vt:lpstr>
      <vt:lpstr>Dep. Datos</vt:lpstr>
      <vt:lpstr>Modulos</vt:lpstr>
      <vt:lpstr>Arbol</vt:lpstr>
      <vt:lpstr>Issues</vt:lpstr>
      <vt:lpstr>SDPParms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Javier</cp:lastModifiedBy>
  <dcterms:created xsi:type="dcterms:W3CDTF">2016-08-02T02:37:51Z</dcterms:created>
  <dcterms:modified xsi:type="dcterms:W3CDTF">2016-10-15T20:32:16Z</dcterms:modified>
</cp:coreProperties>
</file>